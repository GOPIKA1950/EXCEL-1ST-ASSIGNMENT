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AC36E8E-A66E-4800-853E-3BF6C9E3E90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2" i="2"/>
  <c r="N2" i="2"/>
  <c r="G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2" i="2"/>
  <c r="K2" i="2"/>
  <c r="J2" i="2"/>
  <c r="I2" i="2"/>
  <c r="H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<sst xmlns="http://schemas.openxmlformats.org/spreadsheetml/2006/main" count="170" uniqueCount="121">
  <si>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</si>
  <si>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</si>
  <si>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</si>
  <si>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</si>
  <si>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</si>
  <si>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</si>
  <si>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</si>
  <si>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</si>
  <si>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</si>
  <si>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</si>
  <si>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</si>
  <si>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</si>
  <si>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</si>
  <si>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</si>
  <si>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</si>
  <si>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</si>
  <si>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</si>
  <si>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</si>
  <si>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</si>
  <si>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</si>
  <si>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</si>
  <si>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</si>
  <si>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</si>
  <si>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</si>
  <si>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</si>
  <si>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</si>
  <si>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</si>
  <si>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</si>
  <si>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</si>
  <si>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</si>
  <si>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</si>
  <si>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</si>
  <si>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</si>
  <si>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</si>
  <si>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</si>
  <si>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</si>
  <si>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</si>
  <si>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</si>
  <si>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</si>
  <si>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</si>
  <si>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</si>
  <si>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</si>
  <si>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</si>
  <si>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</si>
  <si>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</si>
  <si>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</si>
  <si>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</si>
  <si>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</si>
  <si>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</si>
  <si>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</si>
  <si>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</si>
  <si>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</si>
  <si>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</si>
  <si>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</si>
  <si>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</si>
  <si>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</si>
  <si>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</si>
  <si>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</si>
  <si>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</si>
  <si>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</si>
  <si>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</si>
  <si>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</si>
  <si>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</si>
  <si>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</si>
  <si>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</si>
  <si>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</si>
  <si>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</si>
  <si>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</si>
  <si>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</si>
  <si>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</si>
  <si>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</si>
  <si>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</si>
  <si>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</si>
  <si>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</si>
  <si>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</si>
  <si>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</si>
  <si>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</si>
  <si>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</si>
  <si>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</si>
  <si>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</si>
  <si>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</si>
  <si>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</si>
  <si>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</si>
  <si>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</si>
  <si>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</si>
  <si>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</si>
  <si>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</si>
  <si>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</si>
  <si>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</si>
  <si>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</si>
  <si>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</si>
  <si>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</si>
  <si>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</si>
  <si>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</si>
  <si>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</si>
  <si>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</si>
  <si>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</si>
  <si>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</si>
  <si>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</si>
  <si>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</si>
  <si>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</si>
  <si>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</si>
  <si>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</si>
  <si>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</si>
  <si>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</si>
  <si>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</si>
  <si>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</si>
  <si>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</si>
  <si>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</si>
  <si>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</si>
  <si>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NO OF PRODUTCS </t>
  </si>
  <si>
    <t>AVERAGE</t>
  </si>
  <si>
    <t>MIN</t>
  </si>
  <si>
    <t>MAX</t>
  </si>
  <si>
    <t xml:space="preserve">PRICE RANGE </t>
  </si>
  <si>
    <t xml:space="preserve">SUMIF </t>
  </si>
  <si>
    <t>COUNTIF</t>
  </si>
  <si>
    <t>DAY</t>
  </si>
  <si>
    <t>TOTAL</t>
  </si>
  <si>
    <t xml:space="preserve">COUNTRY CODE 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</si>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</sst>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I8" sqref="I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abSelected="1" topLeftCell="D1" workbookViewId="0">
      <selection activeCell="Q2" sqref="Q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8" max="8" width="18.44140625" customWidth="1"/>
    <col min="12" max="12" width="15.88671875" customWidth="1"/>
    <col min="16" max="16" width="16.6640625" customWidth="1"/>
  </cols>
  <sheetData>
    <row r="1" spans="1:1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118</v>
      </c>
      <c r="H1" s="5" t="s">
        <v>110</v>
      </c>
      <c r="I1" s="5" t="s">
        <v>111</v>
      </c>
      <c r="J1" s="5" t="s">
        <v>112</v>
      </c>
      <c r="K1" s="8" t="s">
        <v>113</v>
      </c>
      <c r="L1" s="8" t="s">
        <v>114</v>
      </c>
      <c r="M1" s="8" t="s">
        <v>115</v>
      </c>
      <c r="N1" s="8" t="s">
        <v>116</v>
      </c>
      <c r="O1" s="8" t="s">
        <v>117</v>
      </c>
      <c r="P1" s="8" t="s">
        <v>119</v>
      </c>
      <c r="Q1" s="8" t="s">
        <v>120</v>
      </c>
    </row>
    <row r="2" spans="1:17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>
        <f>SUM(D2:D35)</f>
        <v>10100</v>
      </c>
      <c r="H2">
        <f>COUNTA(A2:A35)</f>
        <v>34</v>
      </c>
      <c r="I2">
        <f>AVERAGE(D2:D35)</f>
        <v>297.05882352941177</v>
      </c>
      <c r="J2">
        <f>MIN(D2:D35)</f>
        <v>30</v>
      </c>
      <c r="K2">
        <f>MAX(D2:D35)</f>
        <v>1000</v>
      </c>
      <c r="L2" t="str">
        <f>IF(D2&gt;=500,"High Price","Standard Price")</f>
        <v>High Price</v>
      </c>
      <c r="M2">
        <f>SUMIF(F2:F35,"Electronics",D2:D35)</f>
        <v>8050</v>
      </c>
      <c r="N2">
        <f>COUNTIF(D2:D35,"&lt;100")</f>
        <v>11</v>
      </c>
      <c r="O2" t="str">
        <f>LEFT(A2,2)</f>
        <v>28</v>
      </c>
      <c r="P2" t="str">
        <f>RIGHT(A2,2)</f>
        <v>US</v>
      </c>
      <c r="Q2" t="str">
        <f>MID(A2,4,3)</f>
        <v>JAN</v>
      </c>
    </row>
    <row r="3" spans="1:17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/>
      <c r="L3" t="str">
        <f t="shared" ref="L3:L35" si="0">IF(D3&gt;=500,"High Price","Standard Price")</f>
        <v>Standard Price</v>
      </c>
      <c r="M3">
        <f t="shared" ref="M3:M35" si="1">SUMIF(F3:F36,"Electronics",D3:D36)</f>
        <v>7050</v>
      </c>
      <c r="O3" t="str">
        <f t="shared" ref="O3:O35" si="2">LEFT(A3,2)</f>
        <v>15</v>
      </c>
      <c r="P3" t="str">
        <f t="shared" ref="P3:P35" si="3">RIGHT(A3,2)</f>
        <v>US</v>
      </c>
      <c r="Q3" t="str">
        <f t="shared" ref="Q3:Q35" si="4">MID(A3,4,3)</f>
        <v>FEB</v>
      </c>
    </row>
    <row r="4" spans="1:17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/>
      <c r="L4" t="str">
        <f t="shared" si="0"/>
        <v>Standard Price</v>
      </c>
      <c r="M4">
        <f t="shared" si="1"/>
        <v>7050</v>
      </c>
      <c r="O4" t="str">
        <f t="shared" si="2"/>
        <v>03</v>
      </c>
      <c r="P4" t="str">
        <f t="shared" si="3"/>
        <v>US</v>
      </c>
      <c r="Q4" t="str">
        <f t="shared" si="4"/>
        <v>MAR</v>
      </c>
    </row>
    <row r="5" spans="1:17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/>
      <c r="L5" t="str">
        <f t="shared" si="0"/>
        <v>High Price</v>
      </c>
      <c r="M5">
        <f t="shared" si="1"/>
        <v>7050</v>
      </c>
      <c r="O5" t="str">
        <f t="shared" si="2"/>
        <v>11</v>
      </c>
      <c r="P5" t="str">
        <f t="shared" si="3"/>
        <v>US</v>
      </c>
      <c r="Q5" t="str">
        <f t="shared" si="4"/>
        <v>APR</v>
      </c>
    </row>
    <row r="6" spans="1:17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/>
      <c r="L6" t="str">
        <f t="shared" si="0"/>
        <v>Standard Price</v>
      </c>
      <c r="M6">
        <f t="shared" si="1"/>
        <v>6150</v>
      </c>
      <c r="O6" t="str">
        <f t="shared" si="2"/>
        <v>22</v>
      </c>
      <c r="P6" t="str">
        <f t="shared" si="3"/>
        <v>US</v>
      </c>
      <c r="Q6" t="str">
        <f t="shared" si="4"/>
        <v>MAY</v>
      </c>
    </row>
    <row r="7" spans="1:17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/>
      <c r="L7" t="str">
        <f t="shared" si="0"/>
        <v>Standard Price</v>
      </c>
      <c r="M7">
        <f t="shared" si="1"/>
        <v>6150</v>
      </c>
      <c r="O7" t="str">
        <f t="shared" si="2"/>
        <v>07</v>
      </c>
      <c r="P7" t="str">
        <f t="shared" si="3"/>
        <v>UK</v>
      </c>
      <c r="Q7" t="str">
        <f t="shared" si="4"/>
        <v>JUN</v>
      </c>
    </row>
    <row r="8" spans="1:17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/>
      <c r="L8" t="str">
        <f t="shared" si="0"/>
        <v>Standard Price</v>
      </c>
      <c r="M8">
        <f t="shared" si="1"/>
        <v>5950</v>
      </c>
      <c r="O8" t="str">
        <f t="shared" si="2"/>
        <v>19</v>
      </c>
      <c r="P8" t="str">
        <f t="shared" si="3"/>
        <v>UK</v>
      </c>
      <c r="Q8" t="str">
        <f t="shared" si="4"/>
        <v>JUL</v>
      </c>
    </row>
    <row r="9" spans="1:17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/>
      <c r="L9" t="str">
        <f t="shared" si="0"/>
        <v>Standard Price</v>
      </c>
      <c r="M9">
        <f t="shared" si="1"/>
        <v>5950</v>
      </c>
      <c r="O9" t="str">
        <f t="shared" si="2"/>
        <v>23</v>
      </c>
      <c r="P9" t="str">
        <f t="shared" si="3"/>
        <v>UK</v>
      </c>
      <c r="Q9" t="str">
        <f t="shared" si="4"/>
        <v>AUG</v>
      </c>
    </row>
    <row r="10" spans="1:17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/>
      <c r="L10" t="str">
        <f t="shared" si="0"/>
        <v>High Price</v>
      </c>
      <c r="M10">
        <f t="shared" si="1"/>
        <v>5950</v>
      </c>
      <c r="O10" t="str">
        <f t="shared" si="2"/>
        <v>05</v>
      </c>
      <c r="P10" t="str">
        <f t="shared" si="3"/>
        <v>UK</v>
      </c>
      <c r="Q10" t="str">
        <f t="shared" si="4"/>
        <v>SEP</v>
      </c>
    </row>
    <row r="11" spans="1:17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/>
      <c r="L11" t="str">
        <f t="shared" si="0"/>
        <v>Standard Price</v>
      </c>
      <c r="M11">
        <f t="shared" si="1"/>
        <v>5450</v>
      </c>
      <c r="O11" t="str">
        <f t="shared" si="2"/>
        <v>14</v>
      </c>
      <c r="P11" t="str">
        <f t="shared" si="3"/>
        <v>UK</v>
      </c>
      <c r="Q11" t="str">
        <f t="shared" si="4"/>
        <v>OCT</v>
      </c>
    </row>
    <row r="12" spans="1:17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/>
      <c r="L12" t="str">
        <f t="shared" si="0"/>
        <v>High Price</v>
      </c>
      <c r="M12">
        <f t="shared" si="1"/>
        <v>5450</v>
      </c>
      <c r="O12" t="str">
        <f t="shared" si="2"/>
        <v>17</v>
      </c>
      <c r="P12" t="str">
        <f t="shared" si="3"/>
        <v>IN</v>
      </c>
      <c r="Q12" t="str">
        <f t="shared" si="4"/>
        <v>JUN</v>
      </c>
    </row>
    <row r="13" spans="1:17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/>
      <c r="L13" t="str">
        <f t="shared" si="0"/>
        <v>Standard Price</v>
      </c>
      <c r="M13">
        <f t="shared" si="1"/>
        <v>4500</v>
      </c>
      <c r="O13" t="str">
        <f t="shared" si="2"/>
        <v>25</v>
      </c>
      <c r="P13" t="str">
        <f t="shared" si="3"/>
        <v>AU</v>
      </c>
      <c r="Q13" t="str">
        <f t="shared" si="4"/>
        <v>NOV</v>
      </c>
    </row>
    <row r="14" spans="1:17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/>
      <c r="L14" t="str">
        <f t="shared" si="0"/>
        <v>Standard Price</v>
      </c>
      <c r="M14">
        <f t="shared" si="1"/>
        <v>4500</v>
      </c>
      <c r="O14" t="str">
        <f t="shared" si="2"/>
        <v>08</v>
      </c>
      <c r="P14" t="str">
        <f t="shared" si="3"/>
        <v>DE</v>
      </c>
      <c r="Q14" t="str">
        <f t="shared" si="4"/>
        <v>DEC</v>
      </c>
    </row>
    <row r="15" spans="1:17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/>
      <c r="L15" t="str">
        <f t="shared" si="0"/>
        <v>Standard Price</v>
      </c>
      <c r="M15">
        <f t="shared" si="1"/>
        <v>4500</v>
      </c>
      <c r="O15" t="str">
        <f t="shared" si="2"/>
        <v>18</v>
      </c>
      <c r="P15" t="str">
        <f t="shared" si="3"/>
        <v>CA</v>
      </c>
      <c r="Q15" t="str">
        <f t="shared" si="4"/>
        <v>FEB</v>
      </c>
    </row>
    <row r="16" spans="1:17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/>
      <c r="L16" t="str">
        <f t="shared" si="0"/>
        <v>Standard Price</v>
      </c>
      <c r="M16">
        <f t="shared" si="1"/>
        <v>4350</v>
      </c>
      <c r="O16" t="str">
        <f t="shared" si="2"/>
        <v>16</v>
      </c>
      <c r="P16" t="str">
        <f t="shared" si="3"/>
        <v>ES</v>
      </c>
      <c r="Q16" t="str">
        <f t="shared" si="4"/>
        <v>APR</v>
      </c>
    </row>
    <row r="17" spans="1:17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/>
      <c r="L17" t="str">
        <f t="shared" si="0"/>
        <v>Standard Price</v>
      </c>
      <c r="M17">
        <f t="shared" si="1"/>
        <v>4100</v>
      </c>
      <c r="O17" t="str">
        <f t="shared" si="2"/>
        <v>21</v>
      </c>
      <c r="P17" t="str">
        <f t="shared" si="3"/>
        <v>CA</v>
      </c>
      <c r="Q17" t="str">
        <f t="shared" si="4"/>
        <v>AUG</v>
      </c>
    </row>
    <row r="18" spans="1:17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/>
      <c r="L18" t="str">
        <f t="shared" si="0"/>
        <v>Standard Price</v>
      </c>
      <c r="M18">
        <f t="shared" si="1"/>
        <v>4100</v>
      </c>
      <c r="O18" t="str">
        <f t="shared" si="2"/>
        <v>20</v>
      </c>
      <c r="P18" t="str">
        <f t="shared" si="3"/>
        <v>CN</v>
      </c>
      <c r="Q18" t="str">
        <f t="shared" si="4"/>
        <v>AUG</v>
      </c>
    </row>
    <row r="19" spans="1:17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/>
      <c r="L19" t="str">
        <f t="shared" si="0"/>
        <v>High Price</v>
      </c>
      <c r="M19">
        <f t="shared" si="1"/>
        <v>3940</v>
      </c>
      <c r="O19" t="str">
        <f t="shared" si="2"/>
        <v>27</v>
      </c>
      <c r="P19" t="str">
        <f t="shared" si="3"/>
        <v>IT</v>
      </c>
      <c r="Q19" t="str">
        <f t="shared" si="4"/>
        <v>JAN</v>
      </c>
    </row>
    <row r="20" spans="1:17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/>
      <c r="L20" t="str">
        <f t="shared" si="0"/>
        <v>Standard Price</v>
      </c>
      <c r="M20">
        <f t="shared" si="1"/>
        <v>2960</v>
      </c>
      <c r="O20" t="str">
        <f t="shared" si="2"/>
        <v>01</v>
      </c>
      <c r="P20" t="str">
        <f t="shared" si="3"/>
        <v>UK</v>
      </c>
      <c r="Q20" t="str">
        <f t="shared" si="4"/>
        <v>MAR</v>
      </c>
    </row>
    <row r="21" spans="1:17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/>
      <c r="L21" t="str">
        <f t="shared" si="0"/>
        <v>Standard Price</v>
      </c>
      <c r="M21">
        <f t="shared" si="1"/>
        <v>2960</v>
      </c>
      <c r="O21" t="str">
        <f t="shared" si="2"/>
        <v>14</v>
      </c>
      <c r="P21" t="str">
        <f t="shared" si="3"/>
        <v>US</v>
      </c>
      <c r="Q21" t="str">
        <f t="shared" si="4"/>
        <v>AUG</v>
      </c>
    </row>
    <row r="22" spans="1:17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/>
      <c r="L22" t="str">
        <f t="shared" si="0"/>
        <v>High Price</v>
      </c>
      <c r="M22">
        <f t="shared" si="1"/>
        <v>2960</v>
      </c>
      <c r="O22" t="str">
        <f t="shared" si="2"/>
        <v>14</v>
      </c>
      <c r="P22" t="str">
        <f t="shared" si="3"/>
        <v>RU</v>
      </c>
      <c r="Q22" t="str">
        <f t="shared" si="4"/>
        <v>MAY</v>
      </c>
    </row>
    <row r="23" spans="1:17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/>
      <c r="L23" t="str">
        <f t="shared" si="0"/>
        <v>Standard Price</v>
      </c>
      <c r="M23">
        <f t="shared" si="1"/>
        <v>2260</v>
      </c>
      <c r="O23" t="str">
        <f t="shared" si="2"/>
        <v>09</v>
      </c>
      <c r="P23" t="str">
        <f t="shared" si="3"/>
        <v>CA</v>
      </c>
      <c r="Q23" t="str">
        <f t="shared" si="4"/>
        <v>JAN</v>
      </c>
    </row>
    <row r="24" spans="1:17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/>
      <c r="L24" t="str">
        <f t="shared" si="0"/>
        <v>Standard Price</v>
      </c>
      <c r="M24">
        <f t="shared" si="1"/>
        <v>2260</v>
      </c>
      <c r="O24" t="str">
        <f t="shared" si="2"/>
        <v>19</v>
      </c>
      <c r="P24" t="str">
        <f t="shared" si="3"/>
        <v>BR</v>
      </c>
      <c r="Q24" t="str">
        <f t="shared" si="4"/>
        <v>JUL</v>
      </c>
    </row>
    <row r="25" spans="1:17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/>
      <c r="L25" t="str">
        <f t="shared" si="0"/>
        <v>Standard Price</v>
      </c>
      <c r="M25">
        <f t="shared" si="1"/>
        <v>2110</v>
      </c>
      <c r="O25" t="str">
        <f t="shared" si="2"/>
        <v>21</v>
      </c>
      <c r="P25" t="str">
        <f t="shared" si="3"/>
        <v>CA</v>
      </c>
      <c r="Q25" t="str">
        <f t="shared" si="4"/>
        <v>AUG</v>
      </c>
    </row>
    <row r="26" spans="1:17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/>
      <c r="L26" t="str">
        <f t="shared" si="0"/>
        <v>High Price</v>
      </c>
      <c r="M26">
        <f t="shared" si="1"/>
        <v>2110</v>
      </c>
      <c r="O26" t="str">
        <f t="shared" si="2"/>
        <v>29</v>
      </c>
      <c r="P26" t="str">
        <f t="shared" si="3"/>
        <v>CA</v>
      </c>
      <c r="Q26" t="str">
        <f t="shared" si="4"/>
        <v>SEP</v>
      </c>
    </row>
    <row r="27" spans="1:17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/>
      <c r="L27" t="str">
        <f t="shared" si="0"/>
        <v>Standard Price</v>
      </c>
      <c r="M27">
        <f t="shared" si="1"/>
        <v>1310</v>
      </c>
      <c r="O27" t="str">
        <f t="shared" si="2"/>
        <v>03</v>
      </c>
      <c r="P27" t="str">
        <f t="shared" si="3"/>
        <v>CA</v>
      </c>
      <c r="Q27" t="str">
        <f t="shared" si="4"/>
        <v>JUN</v>
      </c>
    </row>
    <row r="28" spans="1:17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/>
      <c r="L28" t="str">
        <f t="shared" si="0"/>
        <v>Standard Price</v>
      </c>
      <c r="M28">
        <f t="shared" si="1"/>
        <v>1310</v>
      </c>
      <c r="O28" t="str">
        <f t="shared" si="2"/>
        <v>11</v>
      </c>
      <c r="P28" t="str">
        <f t="shared" si="3"/>
        <v>CA</v>
      </c>
      <c r="Q28" t="str">
        <f t="shared" si="4"/>
        <v>JUL</v>
      </c>
    </row>
    <row r="29" spans="1:17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/>
      <c r="L29" t="str">
        <f t="shared" si="0"/>
        <v>Standard Price</v>
      </c>
      <c r="M29">
        <f t="shared" si="1"/>
        <v>1310</v>
      </c>
      <c r="O29" t="str">
        <f t="shared" si="2"/>
        <v>16</v>
      </c>
      <c r="P29" t="str">
        <f t="shared" si="3"/>
        <v>ES</v>
      </c>
      <c r="Q29" t="str">
        <f t="shared" si="4"/>
        <v>APR</v>
      </c>
    </row>
    <row r="30" spans="1:17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/>
      <c r="L30" t="str">
        <f t="shared" si="0"/>
        <v>Standard Price</v>
      </c>
      <c r="M30">
        <f t="shared" si="1"/>
        <v>1080</v>
      </c>
      <c r="O30" t="str">
        <f t="shared" si="2"/>
        <v>07</v>
      </c>
      <c r="P30" t="str">
        <f t="shared" si="3"/>
        <v>CA</v>
      </c>
      <c r="Q30" t="str">
        <f t="shared" si="4"/>
        <v>MAR</v>
      </c>
    </row>
    <row r="31" spans="1:17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/>
      <c r="L31" t="str">
        <f t="shared" si="0"/>
        <v>Standard Price</v>
      </c>
      <c r="M31">
        <f t="shared" si="1"/>
        <v>1080</v>
      </c>
      <c r="O31" t="str">
        <f t="shared" si="2"/>
        <v>13</v>
      </c>
      <c r="P31" t="str">
        <f t="shared" si="3"/>
        <v>CA</v>
      </c>
      <c r="Q31" t="str">
        <f t="shared" si="4"/>
        <v>APR</v>
      </c>
    </row>
    <row r="32" spans="1:17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/>
      <c r="L32" t="str">
        <f t="shared" si="0"/>
        <v>Standard Price</v>
      </c>
      <c r="M32">
        <f t="shared" si="1"/>
        <v>1080</v>
      </c>
      <c r="O32" t="str">
        <f t="shared" si="2"/>
        <v>24</v>
      </c>
      <c r="P32" t="str">
        <f t="shared" si="3"/>
        <v>CA</v>
      </c>
      <c r="Q32" t="str">
        <f t="shared" si="4"/>
        <v>MAY</v>
      </c>
    </row>
    <row r="33" spans="1:17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/>
      <c r="L33" t="str">
        <f t="shared" si="0"/>
        <v>Standard Price</v>
      </c>
      <c r="M33">
        <f t="shared" si="1"/>
        <v>950</v>
      </c>
      <c r="O33" t="str">
        <f t="shared" si="2"/>
        <v>02</v>
      </c>
      <c r="P33" t="str">
        <f t="shared" si="3"/>
        <v>CA</v>
      </c>
      <c r="Q33" t="str">
        <f t="shared" si="4"/>
        <v>DEC</v>
      </c>
    </row>
    <row r="34" spans="1:17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/>
      <c r="L34" t="str">
        <f t="shared" si="0"/>
        <v>High Price</v>
      </c>
      <c r="M34">
        <f t="shared" si="1"/>
        <v>950</v>
      </c>
      <c r="O34" t="str">
        <f t="shared" si="2"/>
        <v>17</v>
      </c>
      <c r="P34" t="str">
        <f t="shared" si="3"/>
        <v>IN</v>
      </c>
      <c r="Q34" t="str">
        <f t="shared" si="4"/>
        <v>JUN</v>
      </c>
    </row>
    <row r="35" spans="1:17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/>
      <c r="L35" t="str">
        <f t="shared" si="0"/>
        <v>Standard Price</v>
      </c>
      <c r="M35">
        <f t="shared" si="1"/>
        <v>0</v>
      </c>
      <c r="O35" t="str">
        <f t="shared" si="2"/>
        <v>09</v>
      </c>
      <c r="P35" t="str">
        <f t="shared" si="3"/>
        <v>FR</v>
      </c>
      <c r="Q35" t="str">
        <f t="shared" si="4"/>
        <v>JUL</v>
      </c>
    </row>
    <row r="36" spans="1:17" ht="15.75" customHeight="1" x14ac:dyDescent="0.25"/>
    <row r="37" spans="1:17" ht="15.75" customHeight="1" x14ac:dyDescent="0.25"/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gopikaasgopikaas038@outlook.com</cp:lastModifiedBy>
  <dcterms:created xsi:type="dcterms:W3CDTF">2026-07-25T10:18:54Z</dcterms:created>
  <dcterms:modified xsi:type="dcterms:W3CDTF">2026-07-25T10:18:54Z</dcterms:modified>
</cp:coreProperties>
</file>